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khan\Downloads\"/>
    </mc:Choice>
  </mc:AlternateContent>
  <xr:revisionPtr revIDLastSave="0" documentId="13_ncr:1_{4E5E73EA-2325-4E44-9AA2-9F2694599F19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Checklist" sheetId="1" r:id="rId1"/>
    <sheet name="HowTo" sheetId="2" r:id="rId2"/>
  </sheets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8" i="1" l="1"/>
  <c r="E37" i="1"/>
  <c r="E32" i="1"/>
  <c r="E41" i="1"/>
  <c r="E27" i="1"/>
  <c r="E18" i="1"/>
  <c r="E10" i="1"/>
  <c r="E5" i="1"/>
  <c r="K9" i="1"/>
  <c r="K8" i="1" l="1"/>
  <c r="K6" i="1"/>
  <c r="K5" i="1"/>
  <c r="K4" i="1"/>
  <c r="K3" i="1"/>
  <c r="E2" i="1"/>
  <c r="K2" i="1" s="1"/>
  <c r="K7" i="1"/>
  <c r="N2" i="1"/>
</calcChain>
</file>

<file path=xl/sharedStrings.xml><?xml version="1.0" encoding="utf-8"?>
<sst xmlns="http://schemas.openxmlformats.org/spreadsheetml/2006/main" count="75" uniqueCount="66">
  <si>
    <t>Topic</t>
  </si>
  <si>
    <t>Subtopic</t>
  </si>
  <si>
    <t>In Progress</t>
  </si>
  <si>
    <t>Done</t>
  </si>
  <si>
    <t>Progress %</t>
  </si>
  <si>
    <t>Label</t>
  </si>
  <si>
    <t>Value</t>
  </si>
  <si>
    <t>1. IaC with Terraform</t>
  </si>
  <si>
    <t>Completed</t>
  </si>
  <si>
    <t>2. Terraform fundamentals</t>
  </si>
  <si>
    <t>3. Core workflow</t>
  </si>
  <si>
    <t>4. Terraform configuration</t>
  </si>
  <si>
    <t>5. Modules</t>
  </si>
  <si>
    <t>6. State management</t>
  </si>
  <si>
    <t>7. Maintain infrastructure</t>
  </si>
  <si>
    <t>8. HCP Terraform</t>
  </si>
  <si>
    <t>Make status clickable with Option Buttons (radio)</t>
  </si>
  <si>
    <t>1) Enable Developer tab: File → Options → Customize Ribbon → check ‘Developer’.</t>
  </si>
  <si>
    <t>2) For each subtopic row, insert two Form Controls → Option Button (not ActiveX).</t>
  </si>
  <si>
    <t>3) Place the first Option Button over the ‘In Progress’ cell (column D), the second over ‘Done’ (column E).</t>
  </si>
  <si>
    <t>4) Right-click each Option Button → Format Control → Control tab → set the same ‘Cell link’ to the StatusValue cell in column C for that row.</t>
  </si>
  <si>
    <t>5) Set the first option’s ‘Default’ selected as needed; values will be: None=0, In Progress=1, Done=2.</t>
  </si>
  <si>
    <t>6) Repeat for all subtopics. Option Buttons in the same row act as a group, so only one can be selected.</t>
  </si>
  <si>
    <t>Progress math: Done contributes 20%, In Progress contributes 10% per subtopic; 5 subtopics per topic = 100%.</t>
  </si>
  <si>
    <t>Explain what IaC is</t>
  </si>
  <si>
    <t>Advantages of IaC patterns</t>
  </si>
  <si>
    <t>Terraform for multi/hybrid/service-agnostic</t>
  </si>
  <si>
    <t>Write config using multiple providers</t>
  </si>
  <si>
    <t>Install &amp; version providers</t>
  </si>
  <si>
    <t>How Terraform uses providers</t>
  </si>
  <si>
    <t>How Terraform manages state</t>
  </si>
  <si>
    <t>Describe the workflow</t>
  </si>
  <si>
    <t>Initialize working directory (init)</t>
  </si>
  <si>
    <t>Validate configuration (validate)</t>
  </si>
  <si>
    <t>Review execution plan (plan)</t>
  </si>
  <si>
    <t>Apply changes (apply)</t>
  </si>
  <si>
    <t>Destroy (destroy)</t>
  </si>
  <si>
    <t>Formatting and style (fmt)</t>
  </si>
  <si>
    <t>Resources vs data sources</t>
  </si>
  <si>
    <t>Variables &amp; outputs</t>
  </si>
  <si>
    <t>Complex types</t>
  </si>
  <si>
    <t>Attributes &amp; cross-resource references</t>
  </si>
  <si>
    <t>Expressions &amp; functions</t>
  </si>
  <si>
    <t>Resource dependencies</t>
  </si>
  <si>
    <t>Custom validation &amp; checks</t>
  </si>
  <si>
    <t>Manage sensitive data (incl. Vault)</t>
  </si>
  <si>
    <t>How Terraform sources modules</t>
  </si>
  <si>
    <t>Use modules in configuration</t>
  </si>
  <si>
    <t>Manage module versions</t>
  </si>
  <si>
    <t>Local backend</t>
  </si>
  <si>
    <t>State locking</t>
  </si>
  <si>
    <t>Remote state via backend</t>
  </si>
  <si>
    <t>Manage drift &amp; state (refresh-only, moved/removed)</t>
  </si>
  <si>
    <t>Import existing infrastructure</t>
  </si>
  <si>
    <t>Inspect state via CLI</t>
  </si>
  <si>
    <t>Verbose logging (when/how)</t>
  </si>
  <si>
    <t>Use HCP Terraform to create infrastructure</t>
  </si>
  <si>
    <t>Collaboration &amp; governance (teams, policies, drift, variable sets)</t>
  </si>
  <si>
    <t>Organize workspaces &amp; projects (run triggers)</t>
  </si>
  <si>
    <t>Integrations &amp; migration (CLI, login, remote ops, upgrade versions)</t>
  </si>
  <si>
    <t>Lifecycle &amp; depends_on</t>
  </si>
  <si>
    <t>Validation &amp; conditions</t>
  </si>
  <si>
    <t>Ephemeral &amp; write-only</t>
  </si>
  <si>
    <t xml:space="preserve">9. 004 Featurs </t>
  </si>
  <si>
    <t>Variable scope in modules</t>
  </si>
  <si>
    <t>9.004 Features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</si>
</sst>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4"/>
      <name val="Calibri"/>
    </font>
    <font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</font>
    <font>
      <sz val="11"/>
      <color rgb="FF0070C0"/>
      <name val="Calibri"/>
      <family val="2"/>
      <scheme val="minor"/>
    </font>
    <font>
      <b/>
      <sz val="12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9" fontId="0" fillId="0" borderId="0" xfId="1" applyFont="1"/>
    <xf numFmtId="0" fontId="8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9" fontId="1" fillId="3" borderId="1" xfId="1" applyFont="1" applyFill="1" applyBorder="1" applyAlignment="1">
      <alignment horizontal="right" vertical="center"/>
    </xf>
    <xf numFmtId="0" fontId="7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5" fillId="0" borderId="1" xfId="0" applyFont="1" applyBorder="1" applyAlignment="1">
      <alignment vertical="center"/>
    </xf>
    <xf numFmtId="0" fontId="7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" xfId="0" applyBorder="1" applyAlignment="1">
      <alignment vertical="center"/>
    </xf>
    <xf numFmtId="0" fontId="0" fillId="3" borderId="1" xfId="0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center"/>
    </xf>
    <xf numFmtId="0" fontId="0" fillId="0" borderId="1" xfId="0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2" xfId="0" applyFont="1" applyFill="1" applyBorder="1" applyAlignment="1">
      <alignment horizontal="center" vertical="center"/>
    </xf>
    <xf numFmtId="0" fontId="0" fillId="0" borderId="0" xfId="0" applyBorder="1"/>
    <xf numFmtId="9" fontId="1" fillId="3" borderId="2" xfId="1" applyFont="1" applyFill="1" applyBorder="1" applyAlignment="1">
      <alignment horizontal="right" vertical="center"/>
    </xf>
    <xf numFmtId="9" fontId="0" fillId="0" borderId="0" xfId="1" applyFont="1" applyBorder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Progress by Topic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Checklist!$K$1</c:f>
              <c:strCache>
                <c:ptCount val="1"/>
                <c:pt idx="0">
                  <c:v>Progress %</c:v>
                </c:pt>
              </c:strCache>
            </c:strRef>
          </c:tx>
          <c:invertIfNegative val="1"/>
          <c:dPt>
            <c:idx val="0"/>
            <c:invertIfNegative val="1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7B0E-4B55-8F7B-4DA518180130}"/>
              </c:ext>
            </c:extLst>
          </c:dPt>
          <c:dPt>
            <c:idx val="1"/>
            <c:invertIfNegative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7B0E-4B55-8F7B-4DA518180130}"/>
              </c:ext>
            </c:extLst>
          </c:dPt>
          <c:dPt>
            <c:idx val="2"/>
            <c:invertIfNegative val="1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7B0E-4B55-8F7B-4DA518180130}"/>
              </c:ext>
            </c:extLst>
          </c:dPt>
          <c:dPt>
            <c:idx val="3"/>
            <c:invertIfNegative val="1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7B0E-4B55-8F7B-4DA518180130}"/>
              </c:ext>
            </c:extLst>
          </c:dPt>
          <c:dPt>
            <c:idx val="4"/>
            <c:invertIfNegative val="1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7B0E-4B55-8F7B-4DA518180130}"/>
              </c:ext>
            </c:extLst>
          </c:dPt>
          <c:dPt>
            <c:idx val="5"/>
            <c:invertIfNegative val="1"/>
            <c:bubble3D val="0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B-7B0E-4B55-8F7B-4DA518180130}"/>
              </c:ext>
            </c:extLst>
          </c:dPt>
          <c:dPt>
            <c:idx val="6"/>
            <c:invertIfNegative val="1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D-7B0E-4B55-8F7B-4DA518180130}"/>
              </c:ext>
            </c:extLst>
          </c:dPt>
          <c:dPt>
            <c:idx val="7"/>
            <c:invertIfNegative val="1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2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2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F-7B0E-4B55-8F7B-4DA518180130}"/>
              </c:ext>
            </c:extLst>
          </c:dPt>
          <c:cat>
            <c:strRef>
              <c:f>Checklist!$J$2:$J$9</c:f>
              <c:strCache>
                <c:ptCount val="8"/>
                <c:pt idx="0">
                  <c:v>1. IaC with Terraform</c:v>
                </c:pt>
                <c:pt idx="1">
                  <c:v>3. Core workflow</c:v>
                </c:pt>
                <c:pt idx="2">
                  <c:v>4. Terraform configuration</c:v>
                </c:pt>
                <c:pt idx="3">
                  <c:v>5. Modules</c:v>
                </c:pt>
                <c:pt idx="4">
                  <c:v>6. State management</c:v>
                </c:pt>
                <c:pt idx="5">
                  <c:v>7. Maintain infrastructure</c:v>
                </c:pt>
                <c:pt idx="6">
                  <c:v>8. HCP Terraform</c:v>
                </c:pt>
                <c:pt idx="7">
                  <c:v>9.004 Features</c:v>
                </c:pt>
              </c:strCache>
            </c:strRef>
          </c:cat>
          <c:val>
            <c:numRef>
              <c:f>Checklist!$K$2:$K$9</c:f>
              <c:numCache>
                <c:formatCode>0%</c:formatCode>
                <c:ptCount val="8"/>
                <c:pt idx="0">
                  <c:v>0</c:v>
                </c:pt>
                <c:pt idx="1">
                  <c:v>0.5714285714285714</c:v>
                </c:pt>
                <c:pt idx="2">
                  <c:v>0.625</c:v>
                </c:pt>
                <c:pt idx="3">
                  <c:v>0.66666666666666663</c:v>
                </c:pt>
                <c:pt idx="4">
                  <c:v>0.66666666666666663</c:v>
                </c:pt>
                <c:pt idx="5">
                  <c:v>0.66666666666666663</c:v>
                </c:pt>
                <c:pt idx="6">
                  <c:v>0.33333333333333331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A1-444D-9752-41F4A6210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axId val="10"/>
        <c:axId val="100"/>
      </c:barChart>
      <c:catAx>
        <c:axId val="1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Topics</a:t>
                </a:r>
              </a:p>
            </c:rich>
          </c:tx>
          <c:overlay val="1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FFFF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470869</xdr:colOff>
      <xdr:row>0</xdr:row>
      <xdr:rowOff>5379</xdr:rowOff>
    </xdr:from>
    <xdr:ext cx="7774419" cy="39230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53"/>
  <sheetViews>
    <sheetView tabSelected="1" zoomScale="85" zoomScaleNormal="85" workbookViewId="0">
      <pane ySplit="1" topLeftCell="A8" activePane="bottomLeft" state="frozen"/>
      <selection pane="bottomLeft" activeCell="A11" sqref="A11:E17"/>
    </sheetView>
  </sheetViews>
  <sheetFormatPr defaultRowHeight="14.4" x14ac:dyDescent="0.3"/>
  <cols>
    <col min="1" max="1" width="28" style="10" customWidth="1"/>
    <col min="2" max="2" width="60.44140625" style="9" customWidth="1"/>
    <col min="3" max="3" width="10.6640625" style="10" customWidth="1"/>
    <col min="4" max="4" width="12" style="10" customWidth="1"/>
    <col min="5" max="5" width="16" style="10" customWidth="1"/>
  </cols>
  <sheetData>
    <row r="1" spans="1:21" ht="15.6" x14ac:dyDescent="0.3">
      <c r="A1" s="3" t="s">
        <v>0</v>
      </c>
      <c r="B1" s="4" t="s">
        <v>1</v>
      </c>
      <c r="C1" s="3" t="s">
        <v>2</v>
      </c>
      <c r="D1" s="3" t="s">
        <v>3</v>
      </c>
      <c r="E1" s="20" t="s">
        <v>4</v>
      </c>
      <c r="F1" s="21"/>
      <c r="G1" s="21"/>
      <c r="H1" s="21"/>
      <c r="I1" s="21"/>
      <c r="J1" s="21" t="s">
        <v>0</v>
      </c>
      <c r="K1" s="21" t="s">
        <v>4</v>
      </c>
      <c r="L1" s="21"/>
      <c r="M1" s="21" t="s">
        <v>5</v>
      </c>
      <c r="N1" s="21" t="s">
        <v>6</v>
      </c>
      <c r="O1" s="21"/>
      <c r="P1" s="21"/>
      <c r="Q1" s="21"/>
      <c r="R1" s="21"/>
      <c r="S1" s="21"/>
      <c r="T1" s="21"/>
      <c r="U1" s="21"/>
    </row>
    <row r="2" spans="1:21" ht="14.4" customHeight="1" x14ac:dyDescent="0.3">
      <c r="A2" s="5" t="s">
        <v>7</v>
      </c>
      <c r="B2" s="6"/>
      <c r="C2" s="7"/>
      <c r="D2" s="7"/>
      <c r="E2" s="22">
        <f>COUNTIF(D3:D4,TRUE)/COUNTA(D3:D4)</f>
        <v>0</v>
      </c>
      <c r="F2" s="21"/>
      <c r="G2" s="21"/>
      <c r="H2" s="21"/>
      <c r="I2" s="21"/>
      <c r="J2" s="21" t="s">
        <v>7</v>
      </c>
      <c r="K2" s="23">
        <f>E2</f>
        <v>0</v>
      </c>
      <c r="L2" s="21"/>
      <c r="M2" s="21" t="s">
        <v>8</v>
      </c>
      <c r="N2" s="21">
        <f>COUNTIF(D:D,2)</f>
        <v>0</v>
      </c>
      <c r="O2" s="21"/>
      <c r="P2" s="21"/>
      <c r="Q2" s="21"/>
      <c r="R2" s="21"/>
      <c r="S2" s="21"/>
      <c r="T2" s="21"/>
      <c r="U2" s="21"/>
    </row>
    <row r="3" spans="1:21" ht="14.4" customHeight="1" x14ac:dyDescent="0.3">
      <c r="A3" s="11"/>
      <c r="B3" s="12" t="s">
        <v>24</v>
      </c>
      <c r="C3" s="14"/>
      <c r="D3" s="19" t="b">
        <v>0</v>
      </c>
      <c r="F3" s="21"/>
      <c r="G3" s="21"/>
      <c r="H3" s="21"/>
      <c r="I3" s="21"/>
      <c r="J3" s="21" t="s">
        <v>10</v>
      </c>
      <c r="K3" s="23">
        <f>E10</f>
        <v>0.5714285714285714</v>
      </c>
      <c r="L3" s="21"/>
      <c r="M3" s="21"/>
      <c r="N3" s="21"/>
      <c r="O3" s="21"/>
      <c r="P3" s="21"/>
      <c r="Q3" s="21"/>
      <c r="R3" s="21"/>
      <c r="S3" s="21"/>
      <c r="T3" s="21"/>
      <c r="U3" s="21"/>
    </row>
    <row r="4" spans="1:21" ht="14.4" customHeight="1" x14ac:dyDescent="0.3">
      <c r="A4" s="11"/>
      <c r="B4" s="12" t="s">
        <v>25</v>
      </c>
      <c r="C4" s="14"/>
      <c r="D4" s="13" t="b">
        <v>0</v>
      </c>
      <c r="J4" t="s">
        <v>11</v>
      </c>
      <c r="K4" s="2">
        <f>E18</f>
        <v>0.625</v>
      </c>
    </row>
    <row r="5" spans="1:21" ht="14.4" customHeight="1" x14ac:dyDescent="0.3">
      <c r="A5" s="5" t="s">
        <v>9</v>
      </c>
      <c r="B5" s="6"/>
      <c r="C5" s="7"/>
      <c r="D5" s="15"/>
      <c r="E5" s="8">
        <f>COUNTIF(D6:D9,TRUE)/COUNTA(D6:D9)</f>
        <v>0</v>
      </c>
      <c r="J5" t="s">
        <v>12</v>
      </c>
      <c r="K5" s="2">
        <f>E27</f>
        <v>0.66666666666666663</v>
      </c>
    </row>
    <row r="6" spans="1:21" ht="14.4" customHeight="1" x14ac:dyDescent="0.3">
      <c r="A6" s="11"/>
      <c r="B6" s="12" t="s">
        <v>26</v>
      </c>
      <c r="C6" s="14"/>
      <c r="D6" s="13" t="b">
        <v>0</v>
      </c>
      <c r="J6" t="s">
        <v>13</v>
      </c>
      <c r="K6" s="2">
        <f>E32</f>
        <v>0.66666666666666663</v>
      </c>
    </row>
    <row r="7" spans="1:21" ht="14.4" customHeight="1" x14ac:dyDescent="0.3">
      <c r="A7" s="11"/>
      <c r="B7" s="12" t="s">
        <v>28</v>
      </c>
      <c r="C7" s="14"/>
      <c r="D7" s="13" t="b">
        <v>0</v>
      </c>
      <c r="J7" t="s">
        <v>14</v>
      </c>
      <c r="K7" s="2">
        <f>E37</f>
        <v>0.66666666666666663</v>
      </c>
    </row>
    <row r="8" spans="1:21" ht="14.4" customHeight="1" x14ac:dyDescent="0.3">
      <c r="A8" s="11"/>
      <c r="B8" s="12" t="s">
        <v>29</v>
      </c>
      <c r="C8" s="14"/>
      <c r="D8" s="13" t="b">
        <v>0</v>
      </c>
      <c r="J8" t="s">
        <v>15</v>
      </c>
      <c r="K8" s="2">
        <f>E41</f>
        <v>0.33333333333333331</v>
      </c>
    </row>
    <row r="9" spans="1:21" ht="14.4" customHeight="1" x14ac:dyDescent="0.3">
      <c r="A9" s="11"/>
      <c r="B9" s="12" t="s">
        <v>27</v>
      </c>
      <c r="C9" s="14"/>
      <c r="D9" s="13" t="b">
        <v>0</v>
      </c>
      <c r="J9" t="s">
        <v>65</v>
      </c>
      <c r="K9" s="2">
        <f>E42</f>
        <v>0</v>
      </c>
    </row>
    <row r="10" spans="1:21" ht="14.4" customHeight="1" x14ac:dyDescent="0.3">
      <c r="A10" s="5" t="s">
        <v>10</v>
      </c>
      <c r="B10" s="6"/>
      <c r="C10" s="7"/>
      <c r="D10" s="15"/>
      <c r="E10" s="8">
        <f>COUNTIF(D11:D17,TRUE)/COUNTA(D11:D17)</f>
        <v>0.5714285714285714</v>
      </c>
    </row>
    <row r="11" spans="1:21" ht="14.4" customHeight="1" x14ac:dyDescent="0.3">
      <c r="A11" s="11"/>
      <c r="B11" s="12" t="s">
        <v>30</v>
      </c>
      <c r="C11" s="14"/>
      <c r="D11" s="13" t="b">
        <v>0</v>
      </c>
    </row>
    <row r="12" spans="1:21" ht="14.4" customHeight="1" x14ac:dyDescent="0.3">
      <c r="A12" s="11"/>
      <c r="B12" s="12" t="s">
        <v>31</v>
      </c>
      <c r="C12" s="14"/>
      <c r="D12" s="13" t="b">
        <v>0</v>
      </c>
    </row>
    <row r="13" spans="1:21" ht="14.4" customHeight="1" x14ac:dyDescent="0.3">
      <c r="A13" s="11"/>
      <c r="B13" s="12" t="s">
        <v>32</v>
      </c>
      <c r="C13" s="14"/>
      <c r="D13" s="13" t="b">
        <v>0</v>
      </c>
    </row>
    <row r="14" spans="1:21" ht="14.4" customHeight="1" x14ac:dyDescent="0.3">
      <c r="A14" s="11"/>
      <c r="B14" s="12" t="s">
        <v>33</v>
      </c>
      <c r="C14" s="14"/>
      <c r="D14" s="13" t="b">
        <v>1</v>
      </c>
    </row>
    <row r="15" spans="1:21" ht="14.4" customHeight="1" x14ac:dyDescent="0.3">
      <c r="A15" s="11"/>
      <c r="B15" s="12" t="s">
        <v>34</v>
      </c>
      <c r="C15" s="14"/>
      <c r="D15" s="13" t="b">
        <v>1</v>
      </c>
    </row>
    <row r="16" spans="1:21" ht="14.4" customHeight="1" x14ac:dyDescent="0.3">
      <c r="A16" s="11"/>
      <c r="B16" s="12" t="s">
        <v>35</v>
      </c>
      <c r="C16" s="14"/>
      <c r="D16" s="13" t="b">
        <v>1</v>
      </c>
    </row>
    <row r="17" spans="1:5" ht="14.4" customHeight="1" x14ac:dyDescent="0.3">
      <c r="A17" s="11"/>
      <c r="B17" s="12" t="s">
        <v>36</v>
      </c>
      <c r="C17" s="14"/>
      <c r="D17" s="13" t="b">
        <v>1</v>
      </c>
    </row>
    <row r="18" spans="1:5" ht="14.4" customHeight="1" x14ac:dyDescent="0.3">
      <c r="A18" s="5" t="s">
        <v>11</v>
      </c>
      <c r="B18" s="6"/>
      <c r="C18" s="7"/>
      <c r="D18" s="15"/>
      <c r="E18" s="8">
        <f>COUNTIF(D19:D26,TRUE)/COUNTA(D19:D26)</f>
        <v>0.625</v>
      </c>
    </row>
    <row r="19" spans="1:5" ht="14.4" customHeight="1" x14ac:dyDescent="0.3">
      <c r="A19" s="11"/>
      <c r="B19" s="12" t="s">
        <v>37</v>
      </c>
      <c r="C19" s="14"/>
      <c r="D19" s="13" t="b">
        <v>0</v>
      </c>
    </row>
    <row r="20" spans="1:5" ht="14.4" customHeight="1" x14ac:dyDescent="0.3">
      <c r="A20" s="11"/>
      <c r="B20" s="12" t="s">
        <v>38</v>
      </c>
      <c r="C20" s="14"/>
      <c r="D20" s="13" t="b">
        <v>1</v>
      </c>
    </row>
    <row r="21" spans="1:5" ht="14.4" customHeight="1" x14ac:dyDescent="0.3">
      <c r="A21" s="11"/>
      <c r="B21" s="12" t="s">
        <v>41</v>
      </c>
      <c r="C21" s="14"/>
      <c r="D21" s="13" t="b">
        <v>1</v>
      </c>
    </row>
    <row r="22" spans="1:5" ht="14.4" customHeight="1" x14ac:dyDescent="0.3">
      <c r="A22" s="11"/>
      <c r="B22" s="12" t="s">
        <v>39</v>
      </c>
      <c r="C22" s="14"/>
      <c r="D22" s="13" t="b">
        <v>0</v>
      </c>
    </row>
    <row r="23" spans="1:5" ht="14.4" customHeight="1" x14ac:dyDescent="0.3">
      <c r="A23" s="11"/>
      <c r="B23" s="12" t="s">
        <v>40</v>
      </c>
      <c r="C23" s="14"/>
      <c r="D23" s="13" t="b">
        <v>1</v>
      </c>
    </row>
    <row r="24" spans="1:5" ht="14.4" customHeight="1" x14ac:dyDescent="0.3">
      <c r="A24" s="11"/>
      <c r="B24" s="12" t="s">
        <v>42</v>
      </c>
      <c r="C24" s="14"/>
      <c r="D24" s="13" t="b">
        <v>1</v>
      </c>
    </row>
    <row r="25" spans="1:5" ht="14.4" customHeight="1" x14ac:dyDescent="0.3">
      <c r="A25" s="11"/>
      <c r="B25" s="12" t="s">
        <v>43</v>
      </c>
      <c r="C25" s="14"/>
      <c r="D25" s="13" t="b">
        <v>0</v>
      </c>
    </row>
    <row r="26" spans="1:5" ht="14.4" customHeight="1" x14ac:dyDescent="0.3">
      <c r="A26" s="11"/>
      <c r="B26" s="12" t="s">
        <v>44</v>
      </c>
      <c r="C26" s="14"/>
      <c r="D26" s="13" t="b">
        <v>1</v>
      </c>
    </row>
    <row r="27" spans="1:5" ht="14.4" customHeight="1" x14ac:dyDescent="0.3">
      <c r="A27" s="5" t="s">
        <v>12</v>
      </c>
      <c r="B27" s="6"/>
      <c r="C27" s="7"/>
      <c r="D27" s="15"/>
      <c r="E27" s="8">
        <f>COUNTIF(D28:D30,TRUE)/COUNTA(D28:D30)</f>
        <v>0.66666666666666663</v>
      </c>
    </row>
    <row r="28" spans="1:5" ht="14.4" customHeight="1" x14ac:dyDescent="0.3">
      <c r="A28" s="11"/>
      <c r="B28" s="12" t="s">
        <v>45</v>
      </c>
      <c r="C28" s="14"/>
      <c r="D28" s="13" t="b">
        <v>1</v>
      </c>
    </row>
    <row r="29" spans="1:5" ht="14.4" customHeight="1" x14ac:dyDescent="0.3">
      <c r="A29" s="11"/>
      <c r="B29" s="12" t="s">
        <v>46</v>
      </c>
      <c r="C29" s="14"/>
      <c r="D29" s="13" t="b">
        <v>0</v>
      </c>
    </row>
    <row r="30" spans="1:5" ht="14.4" customHeight="1" x14ac:dyDescent="0.3">
      <c r="A30" s="11"/>
      <c r="B30" s="12" t="s">
        <v>64</v>
      </c>
      <c r="C30" s="14"/>
      <c r="D30" s="13" t="b">
        <v>1</v>
      </c>
    </row>
    <row r="31" spans="1:5" ht="14.4" customHeight="1" x14ac:dyDescent="0.3">
      <c r="A31" s="11"/>
      <c r="B31" s="12" t="s">
        <v>47</v>
      </c>
      <c r="C31" s="14"/>
      <c r="D31" s="13" t="b">
        <v>1</v>
      </c>
    </row>
    <row r="32" spans="1:5" ht="14.4" customHeight="1" x14ac:dyDescent="0.3">
      <c r="A32" s="5" t="s">
        <v>13</v>
      </c>
      <c r="B32" s="6"/>
      <c r="C32" s="7"/>
      <c r="D32" s="15"/>
      <c r="E32" s="8">
        <f>COUNTIF(D33:D35,TRUE)/COUNTA(D33:D35)</f>
        <v>0.66666666666666663</v>
      </c>
    </row>
    <row r="33" spans="1:5" ht="14.4" customHeight="1" x14ac:dyDescent="0.3">
      <c r="A33" s="11"/>
      <c r="B33" s="12" t="s">
        <v>48</v>
      </c>
      <c r="C33" s="14"/>
      <c r="D33" s="13" t="b">
        <v>1</v>
      </c>
    </row>
    <row r="34" spans="1:5" ht="14.4" customHeight="1" x14ac:dyDescent="0.3">
      <c r="A34" s="11"/>
      <c r="B34" s="12" t="s">
        <v>49</v>
      </c>
      <c r="C34" s="14"/>
      <c r="D34" s="13" t="b">
        <v>1</v>
      </c>
    </row>
    <row r="35" spans="1:5" ht="14.4" customHeight="1" x14ac:dyDescent="0.3">
      <c r="A35" s="11"/>
      <c r="B35" s="12" t="s">
        <v>50</v>
      </c>
      <c r="C35" s="14"/>
      <c r="D35" s="13" t="b">
        <v>0</v>
      </c>
    </row>
    <row r="36" spans="1:5" ht="14.4" customHeight="1" x14ac:dyDescent="0.3">
      <c r="A36" s="11"/>
      <c r="B36" s="12" t="s">
        <v>51</v>
      </c>
      <c r="C36" s="14"/>
      <c r="D36" s="13" t="b">
        <v>1</v>
      </c>
    </row>
    <row r="37" spans="1:5" ht="14.4" customHeight="1" x14ac:dyDescent="0.3">
      <c r="A37" s="16" t="s">
        <v>14</v>
      </c>
      <c r="B37" s="17"/>
      <c r="C37" s="18"/>
      <c r="D37" s="14"/>
      <c r="E37" s="8">
        <f>COUNTIF(D38:D40,TRUE)/COUNTA(D38:D40)</f>
        <v>0.66666666666666663</v>
      </c>
    </row>
    <row r="38" spans="1:5" ht="14.4" customHeight="1" x14ac:dyDescent="0.3">
      <c r="A38" s="11"/>
      <c r="B38" s="12" t="s">
        <v>52</v>
      </c>
      <c r="C38" s="14"/>
      <c r="D38" s="13" t="b">
        <v>1</v>
      </c>
    </row>
    <row r="39" spans="1:5" ht="14.4" customHeight="1" x14ac:dyDescent="0.3">
      <c r="A39" s="11"/>
      <c r="B39" s="12" t="s">
        <v>53</v>
      </c>
      <c r="C39" s="14"/>
      <c r="D39" s="13" t="b">
        <v>0</v>
      </c>
    </row>
    <row r="40" spans="1:5" ht="14.4" customHeight="1" x14ac:dyDescent="0.3">
      <c r="A40" s="11"/>
      <c r="B40" s="12" t="s">
        <v>54</v>
      </c>
      <c r="C40" s="14"/>
      <c r="D40" s="13" t="b">
        <v>1</v>
      </c>
    </row>
    <row r="41" spans="1:5" ht="14.4" customHeight="1" x14ac:dyDescent="0.3">
      <c r="A41" s="5" t="s">
        <v>15</v>
      </c>
      <c r="B41" s="6"/>
      <c r="C41" s="7"/>
      <c r="D41" s="15"/>
      <c r="E41" s="8">
        <f>COUNTIF(D42:D44,TRUE)/COUNTA(D42:D44)</f>
        <v>0.33333333333333331</v>
      </c>
    </row>
    <row r="42" spans="1:5" ht="14.4" customHeight="1" x14ac:dyDescent="0.3">
      <c r="A42" s="14"/>
      <c r="B42" s="12" t="s">
        <v>55</v>
      </c>
      <c r="C42" s="14"/>
      <c r="D42" s="13" t="b">
        <v>1</v>
      </c>
    </row>
    <row r="43" spans="1:5" ht="14.4" customHeight="1" x14ac:dyDescent="0.3">
      <c r="A43" s="14"/>
      <c r="B43" s="12" t="s">
        <v>56</v>
      </c>
      <c r="C43" s="14"/>
      <c r="D43" s="13" t="b">
        <v>0</v>
      </c>
    </row>
    <row r="44" spans="1:5" ht="16.2" customHeight="1" x14ac:dyDescent="0.3">
      <c r="A44" s="14"/>
      <c r="B44" s="12" t="s">
        <v>57</v>
      </c>
      <c r="C44" s="14"/>
      <c r="D44" s="13" t="b">
        <v>0</v>
      </c>
    </row>
    <row r="45" spans="1:5" ht="17.399999999999999" customHeight="1" x14ac:dyDescent="0.3">
      <c r="A45" s="14"/>
      <c r="B45" s="12" t="s">
        <v>58</v>
      </c>
      <c r="C45" s="14"/>
      <c r="D45" s="13" t="b">
        <v>1</v>
      </c>
    </row>
    <row r="46" spans="1:5" ht="13.8" customHeight="1" x14ac:dyDescent="0.3">
      <c r="A46" s="14"/>
      <c r="B46" s="12" t="s">
        <v>59</v>
      </c>
      <c r="C46" s="14"/>
      <c r="D46" s="13" t="b">
        <v>1</v>
      </c>
    </row>
    <row r="48" spans="1:5" x14ac:dyDescent="0.3">
      <c r="A48" s="5" t="s">
        <v>63</v>
      </c>
      <c r="B48" s="6"/>
      <c r="C48" s="7"/>
      <c r="D48" s="15"/>
      <c r="E48" s="8">
        <f>COUNTIF(D49:D51,TRUE)/COUNTA(D49:D51)</f>
        <v>1</v>
      </c>
    </row>
    <row r="49" spans="1:5" x14ac:dyDescent="0.3">
      <c r="A49"/>
      <c r="B49" s="12" t="s">
        <v>60</v>
      </c>
      <c r="C49"/>
      <c r="D49" s="13" t="b">
        <v>1</v>
      </c>
      <c r="E49"/>
    </row>
    <row r="50" spans="1:5" x14ac:dyDescent="0.3">
      <c r="A50"/>
      <c r="B50" s="12" t="s">
        <v>61</v>
      </c>
      <c r="C50"/>
      <c r="D50" s="13" t="b">
        <v>1</v>
      </c>
      <c r="E50"/>
    </row>
    <row r="51" spans="1:5" x14ac:dyDescent="0.3">
      <c r="A51"/>
      <c r="B51" s="12" t="s">
        <v>62</v>
      </c>
      <c r="C51"/>
      <c r="D51" s="13" t="b">
        <v>1</v>
      </c>
      <c r="E51"/>
    </row>
    <row r="52" spans="1:5" x14ac:dyDescent="0.3">
      <c r="D52" s="14"/>
    </row>
    <row r="53" spans="1:5" x14ac:dyDescent="0.3">
      <c r="D53" s="14"/>
    </row>
  </sheetData>
  <conditionalFormatting sqref="E2">
    <cfRule type="dataBar" priority="16">
      <dataBar>
        <cfvo type="num" val="0"/>
        <cfvo type="num" val="1"/>
        <color rgb="FF00B050"/>
      </dataBar>
    </cfRule>
  </conditionalFormatting>
  <conditionalFormatting sqref="E5">
    <cfRule type="dataBar" priority="8">
      <dataBar>
        <cfvo type="num" val="0"/>
        <cfvo type="num" val="1"/>
        <color rgb="FF00B050"/>
      </dataBar>
    </cfRule>
  </conditionalFormatting>
  <conditionalFormatting sqref="E10">
    <cfRule type="dataBar" priority="7">
      <dataBar>
        <cfvo type="num" val="0"/>
        <cfvo type="num" val="1"/>
        <color rgb="FF00B050"/>
      </dataBar>
    </cfRule>
  </conditionalFormatting>
  <conditionalFormatting sqref="E18">
    <cfRule type="dataBar" priority="6">
      <dataBar>
        <cfvo type="num" val="0"/>
        <cfvo type="num" val="1"/>
        <color rgb="FF00B050"/>
      </dataBar>
    </cfRule>
  </conditionalFormatting>
  <conditionalFormatting sqref="E27">
    <cfRule type="dataBar" priority="5">
      <dataBar>
        <cfvo type="num" val="0"/>
        <cfvo type="num" val="1"/>
        <color rgb="FF00B050"/>
      </dataBar>
    </cfRule>
  </conditionalFormatting>
  <conditionalFormatting sqref="E32">
    <cfRule type="dataBar" priority="4">
      <dataBar>
        <cfvo type="num" val="0"/>
        <cfvo type="num" val="1"/>
        <color rgb="FF00B050"/>
      </dataBar>
    </cfRule>
  </conditionalFormatting>
  <conditionalFormatting sqref="E37">
    <cfRule type="dataBar" priority="3">
      <dataBar>
        <cfvo type="num" val="0"/>
        <cfvo type="num" val="1"/>
        <color rgb="FF00B050"/>
      </dataBar>
    </cfRule>
  </conditionalFormatting>
  <conditionalFormatting sqref="E41">
    <cfRule type="dataBar" priority="2">
      <dataBar>
        <cfvo type="num" val="0"/>
        <cfvo type="num" val="1"/>
        <color rgb="FF00B050"/>
      </dataBar>
    </cfRule>
  </conditionalFormatting>
  <conditionalFormatting sqref="E48">
    <cfRule type="dataBar" priority="1">
      <dataBar>
        <cfvo type="num" val="0"/>
        <cfvo type="num" val="1"/>
        <color rgb="FF00B050"/>
      </dataBar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0"/>
  <sheetViews>
    <sheetView workbookViewId="0"/>
  </sheetViews>
  <sheetFormatPr defaultRowHeight="14.4" x14ac:dyDescent="0.3"/>
  <cols>
    <col min="1" max="1" width="120" customWidth="1"/>
  </cols>
  <sheetData>
    <row r="1" spans="1:1" ht="18" x14ac:dyDescent="0.35">
      <c r="A1" s="1" t="s">
        <v>16</v>
      </c>
    </row>
    <row r="3" spans="1:1" x14ac:dyDescent="0.3">
      <c r="A3" t="s">
        <v>17</v>
      </c>
    </row>
    <row r="4" spans="1:1" x14ac:dyDescent="0.3">
      <c r="A4" t="s">
        <v>18</v>
      </c>
    </row>
    <row r="5" spans="1:1" x14ac:dyDescent="0.3">
      <c r="A5" t="s">
        <v>19</v>
      </c>
    </row>
    <row r="6" spans="1:1" x14ac:dyDescent="0.3">
      <c r="A6" t="s">
        <v>20</v>
      </c>
    </row>
    <row r="7" spans="1:1" x14ac:dyDescent="0.3">
      <c r="A7" t="s">
        <v>21</v>
      </c>
    </row>
    <row r="8" spans="1:1" x14ac:dyDescent="0.3">
      <c r="A8" t="s">
        <v>22</v>
      </c>
    </row>
    <row r="10" spans="1:1" x14ac:dyDescent="0.3">
      <c r="A10" t="s">
        <v>23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Checklist</vt:lpstr>
      <vt:lpstr>HowTo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MohammadImran Khan</cp:lastModifiedBy>
  <dcterms:created xsi:type="dcterms:W3CDTF">2025-12-20T08:55:00Z</dcterms:created>
  <dcterms:modified xsi:type="dcterms:W3CDTF">2025-12-27T11:14:36Z</dcterms:modified>
</cp:coreProperties>
</file>